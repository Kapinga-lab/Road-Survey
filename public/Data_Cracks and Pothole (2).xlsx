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atnika.saxena\Downloads\"/>
    </mc:Choice>
  </mc:AlternateContent>
  <xr:revisionPtr revIDLastSave="0" documentId="13_ncr:1_{84E8ED54-1B27-46AA-B0B0-0D48302F06B4}" xr6:coauthVersionLast="47" xr6:coauthVersionMax="47" xr10:uidLastSave="{00000000-0000-0000-0000-000000000000}"/>
  <bookViews>
    <workbookView xWindow="-120" yWindow="-120" windowWidth="20730" windowHeight="11040" xr2:uid="{B467F67D-8F37-4A99-A002-C9E06355F6C0}"/>
  </bookViews>
  <sheets>
    <sheet name="Sheet1" sheetId="1" r:id="rId1"/>
    <sheet name="Sheet2" sheetId="2" r:id="rId2"/>
  </sheets>
  <definedNames>
    <definedName name="_xlnm._FilterDatabase" localSheetId="0" hidden="1">Sheet1!$A$1:$N$47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4" i="1"/>
  <c r="I35" i="1"/>
  <c r="I36" i="1"/>
  <c r="I37" i="1"/>
  <c r="I38" i="1"/>
  <c r="I39" i="1"/>
  <c r="I40" i="1"/>
  <c r="I41" i="1"/>
  <c r="I42" i="1"/>
  <c r="I46" i="1"/>
  <c r="I47" i="1"/>
  <c r="I2" i="1"/>
  <c r="H3" i="1"/>
  <c r="H4" i="1"/>
  <c r="H5" i="1"/>
  <c r="H6" i="1"/>
  <c r="H7" i="1"/>
  <c r="H8" i="1"/>
  <c r="H9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4" i="1"/>
  <c r="H35" i="1"/>
  <c r="H36" i="1"/>
  <c r="H37" i="1"/>
  <c r="H38" i="1"/>
  <c r="H39" i="1"/>
  <c r="H40" i="1"/>
  <c r="H41" i="1"/>
  <c r="H42" i="1"/>
  <c r="H46" i="1"/>
  <c r="H47" i="1"/>
  <c r="H2" i="1"/>
</calcChain>
</file>

<file path=xl/sharedStrings.xml><?xml version="1.0" encoding="utf-8"?>
<sst xmlns="http://schemas.openxmlformats.org/spreadsheetml/2006/main" count="361" uniqueCount="110">
  <si>
    <t>S.No</t>
  </si>
  <si>
    <t>Cluster</t>
  </si>
  <si>
    <t>Lattitude</t>
  </si>
  <si>
    <t>Longtitude</t>
  </si>
  <si>
    <t>Location address</t>
  </si>
  <si>
    <t>Crack/Pothole</t>
  </si>
  <si>
    <t>Type</t>
  </si>
  <si>
    <t>Width</t>
  </si>
  <si>
    <t>Severity</t>
  </si>
  <si>
    <t>Rating</t>
  </si>
  <si>
    <t>Cost of repairing</t>
  </si>
  <si>
    <t>Image</t>
  </si>
  <si>
    <t>Pothole</t>
  </si>
  <si>
    <t>Medium</t>
  </si>
  <si>
    <t>Crack</t>
  </si>
  <si>
    <t>Lomita Park, San Mateo</t>
  </si>
  <si>
    <t>High</t>
  </si>
  <si>
    <t>Bin</t>
  </si>
  <si>
    <t>Trashcan</t>
  </si>
  <si>
    <t>Damaged Paint</t>
  </si>
  <si>
    <t>Negligible</t>
  </si>
  <si>
    <t>Horizontal Crack</t>
  </si>
  <si>
    <t>Low</t>
  </si>
  <si>
    <t> -122.204449</t>
  </si>
  <si>
    <t>West Side Highway</t>
  </si>
  <si>
    <t> -123.625136</t>
  </si>
  <si>
    <t>Philo,CA,95466,USA</t>
  </si>
  <si>
    <t> -121.818286</t>
  </si>
  <si>
    <t>Golden State highway</t>
  </si>
  <si>
    <t>Covela RD, CA,95428, USA</t>
  </si>
  <si>
    <t>Madera, CA 93636,USA</t>
  </si>
  <si>
    <t>Merced,California,95340,USA</t>
  </si>
  <si>
    <t>Paseo Belleza, Turlock,CA, USA</t>
  </si>
  <si>
    <t>Damage Paint</t>
  </si>
  <si>
    <t>Alligator Crack</t>
  </si>
  <si>
    <t>NA</t>
  </si>
  <si>
    <t>potholes58.jpg</t>
  </si>
  <si>
    <t>potholes574.jpg</t>
  </si>
  <si>
    <t>potholes573.jpg</t>
  </si>
  <si>
    <t>potholes571.jpg</t>
  </si>
  <si>
    <t>potholes570.jpg</t>
  </si>
  <si>
    <t>potholes57.jpg</t>
  </si>
  <si>
    <t>potholes568.jpg</t>
  </si>
  <si>
    <t>potholes567.jpg</t>
  </si>
  <si>
    <t>potholes566.jpg</t>
  </si>
  <si>
    <t>potholes565.jpg</t>
  </si>
  <si>
    <t>potholes564.jpg</t>
  </si>
  <si>
    <t>potholes559.jpg</t>
  </si>
  <si>
    <t>potholes558.jpg</t>
  </si>
  <si>
    <t>potholes553.jpg</t>
  </si>
  <si>
    <t>potholes551.jpg</t>
  </si>
  <si>
    <t>potholes550.jpg</t>
  </si>
  <si>
    <t>potholes549.jpg</t>
  </si>
  <si>
    <t>635.jpg</t>
  </si>
  <si>
    <t>potholes539.jpg</t>
  </si>
  <si>
    <t>631.jpg</t>
  </si>
  <si>
    <t>628.jpg</t>
  </si>
  <si>
    <t>625.jpg</t>
  </si>
  <si>
    <t>615.jpg</t>
  </si>
  <si>
    <t>617.jpg</t>
  </si>
  <si>
    <t>613.jpg</t>
  </si>
  <si>
    <t>611.jpg</t>
  </si>
  <si>
    <t>604.jpg</t>
  </si>
  <si>
    <t>602.jpg</t>
  </si>
  <si>
    <t>601.jpg</t>
  </si>
  <si>
    <t>589.jpg</t>
  </si>
  <si>
    <t>585.jpg</t>
  </si>
  <si>
    <t>130.jpg</t>
  </si>
  <si>
    <t>129.jpg</t>
  </si>
  <si>
    <t>126.jpg</t>
  </si>
  <si>
    <t>Manhole</t>
  </si>
  <si>
    <t>Trash1.jpg</t>
  </si>
  <si>
    <t>1123.jpg</t>
  </si>
  <si>
    <t>1122.jpg</t>
  </si>
  <si>
    <t>1118.jpg</t>
  </si>
  <si>
    <t>fadded_paint2.jpg</t>
  </si>
  <si>
    <t>damaged-paint1.jpg</t>
  </si>
  <si>
    <t>P2</t>
  </si>
  <si>
    <t>P3</t>
  </si>
  <si>
    <t>P4</t>
  </si>
  <si>
    <t>P1</t>
  </si>
  <si>
    <t>6321.jpg</t>
  </si>
  <si>
    <t>548.jpg</t>
  </si>
  <si>
    <t>546.jpg</t>
  </si>
  <si>
    <t>541.jpg</t>
  </si>
  <si>
    <t>damage_paint3.jpg</t>
  </si>
  <si>
    <t>potholes598.jpg</t>
  </si>
  <si>
    <t>540.jpg</t>
  </si>
  <si>
    <t>Width (approx)</t>
  </si>
  <si>
    <t>Depth (approx)</t>
  </si>
  <si>
    <t>Notes</t>
  </si>
  <si>
    <t>Clean, dry, circular pothole in center of road</t>
  </si>
  <si>
    <t>Water-filled with loose gravel</t>
  </si>
  <si>
    <t>Water-filled, near intersection</t>
  </si>
  <si>
    <t>Long trench near roadside curb</t>
  </si>
  <si>
    <t>Cluster of multiple potholes</t>
  </si>
  <si>
    <t>544.webp</t>
  </si>
  <si>
    <t>Severely worn road with multiple pothole patches</t>
  </si>
  <si>
    <t>545.webp</t>
  </si>
  <si>
    <t>Irregular, edge-of-road wear</t>
  </si>
  <si>
    <t>Busy urban intersection pothole</t>
  </si>
  <si>
    <t>547.webp</t>
  </si>
  <si>
    <t>City road with pothole clusters</t>
  </si>
  <si>
    <t>Deep water-filled pothole near shoulder</t>
  </si>
  <si>
    <t>618.jpg</t>
  </si>
  <si>
    <t>potholes57.webp</t>
  </si>
  <si>
    <t>622.png</t>
  </si>
  <si>
    <t>Depth</t>
  </si>
  <si>
    <t>Trash3.jpg</t>
  </si>
  <si>
    <t>Trash5.jpeg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</si>
</sst>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164" fontId="0" fillId="0" borderId="1" xfId="0" applyNumberFormat="1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7708-178B-4824-B67D-19590983A603}">
  <dimension ref="A1:M47"/>
  <sheetViews>
    <sheetView showGridLines="0" tabSelected="1" workbookViewId="0">
      <selection activeCell="C1" sqref="C1"/>
    </sheetView>
  </sheetViews>
  <sheetFormatPr defaultRowHeight="15"/>
  <cols>
    <col min="1" max="1" width="5.28515625" bestFit="1" customWidth="1"/>
    <col min="2" max="2" width="8.140625" bestFit="1" customWidth="1"/>
    <col min="3" max="3" width="9.5703125" bestFit="1" customWidth="1"/>
    <col min="4" max="4" width="11.5703125" bestFit="1" customWidth="1"/>
    <col min="5" max="5" width="19.85546875" bestFit="1" customWidth="1"/>
    <col min="6" max="6" width="13.28515625" bestFit="1" customWidth="1"/>
    <col min="7" max="7" width="24.140625" bestFit="1" customWidth="1"/>
    <col min="8" max="8" width="6.42578125" style="3" bestFit="1" customWidth="1"/>
    <col min="9" max="9" width="6" style="3" bestFit="1" customWidth="1"/>
    <col min="10" max="10" width="14" style="3" customWidth="1"/>
    <col min="11" max="11" width="6.28515625" bestFit="1" customWidth="1"/>
    <col min="12" max="12" width="14.5703125" bestFit="1" customWidth="1"/>
    <col min="13" max="13" width="73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107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s="12" customFormat="1">
      <c r="A2" s="8">
        <v>1</v>
      </c>
      <c r="B2" s="9">
        <v>1</v>
      </c>
      <c r="C2" s="10">
        <v>39.162998000000002</v>
      </c>
      <c r="D2" s="9">
        <v>-123.639138</v>
      </c>
      <c r="E2" s="9" t="s">
        <v>26</v>
      </c>
      <c r="F2" s="8" t="s">
        <v>12</v>
      </c>
      <c r="G2" s="8" t="s">
        <v>12</v>
      </c>
      <c r="H2" s="11">
        <f>VLOOKUP(M2,Sheet2!$B$3:$D$47,3,0)</f>
        <v>3</v>
      </c>
      <c r="I2" s="11">
        <f>VLOOKUP(M2,Sheet2!$B$3:$C$47,2,0)</f>
        <v>24</v>
      </c>
      <c r="J2" s="11" t="s">
        <v>22</v>
      </c>
      <c r="K2" s="8" t="s">
        <v>78</v>
      </c>
      <c r="L2" s="8">
        <v>80</v>
      </c>
      <c r="M2" s="9" t="s">
        <v>36</v>
      </c>
    </row>
    <row r="3" spans="1:13" s="12" customFormat="1">
      <c r="A3" s="8">
        <v>3</v>
      </c>
      <c r="B3" s="9">
        <v>1</v>
      </c>
      <c r="C3" s="9">
        <v>39.157254000000002</v>
      </c>
      <c r="D3" s="9">
        <v>-123.63078</v>
      </c>
      <c r="E3" s="9" t="s">
        <v>26</v>
      </c>
      <c r="F3" s="8" t="s">
        <v>14</v>
      </c>
      <c r="G3" s="8" t="s">
        <v>34</v>
      </c>
      <c r="H3" s="11">
        <f>VLOOKUP(M3,Sheet2!$B$3:$D$47,3,0)</f>
        <v>2.5</v>
      </c>
      <c r="I3" s="11">
        <f>VLOOKUP(M3,Sheet2!$B$3:$C$47,2,0)</f>
        <v>18</v>
      </c>
      <c r="J3" s="11" t="s">
        <v>13</v>
      </c>
      <c r="K3" s="8" t="s">
        <v>77</v>
      </c>
      <c r="L3" s="9">
        <v>225</v>
      </c>
      <c r="M3" s="9" t="s">
        <v>81</v>
      </c>
    </row>
    <row r="4" spans="1:13" s="12" customFormat="1">
      <c r="A4" s="8">
        <v>4</v>
      </c>
      <c r="B4" s="9">
        <v>1</v>
      </c>
      <c r="C4" s="9">
        <v>39.156339000000003</v>
      </c>
      <c r="D4" s="9" t="s">
        <v>25</v>
      </c>
      <c r="E4" s="9" t="s">
        <v>26</v>
      </c>
      <c r="F4" s="8" t="s">
        <v>12</v>
      </c>
      <c r="G4" s="8" t="s">
        <v>12</v>
      </c>
      <c r="H4" s="11">
        <f>VLOOKUP(M4,Sheet2!$B$3:$D$47,3,0)</f>
        <v>7</v>
      </c>
      <c r="I4" s="11">
        <f>VLOOKUP(M4,Sheet2!$B$3:$C$47,2,0)</f>
        <v>42</v>
      </c>
      <c r="J4" s="11" t="s">
        <v>13</v>
      </c>
      <c r="K4" s="8" t="s">
        <v>77</v>
      </c>
      <c r="L4" s="9">
        <v>334.25</v>
      </c>
      <c r="M4" s="9" t="s">
        <v>37</v>
      </c>
    </row>
    <row r="5" spans="1:13" s="12" customFormat="1">
      <c r="A5" s="8">
        <v>5</v>
      </c>
      <c r="B5" s="9">
        <v>1</v>
      </c>
      <c r="C5" s="9">
        <v>39.155614999999997</v>
      </c>
      <c r="D5" s="9">
        <v>-123.623457</v>
      </c>
      <c r="E5" s="9" t="s">
        <v>26</v>
      </c>
      <c r="F5" s="8" t="s">
        <v>12</v>
      </c>
      <c r="G5" s="8" t="s">
        <v>12</v>
      </c>
      <c r="H5" s="11">
        <f>VLOOKUP(M5,Sheet2!$B$3:$D$47,3,0)</f>
        <v>4</v>
      </c>
      <c r="I5" s="11">
        <f>VLOOKUP(M5,Sheet2!$B$3:$C$47,2,0)</f>
        <v>30</v>
      </c>
      <c r="J5" s="11" t="s">
        <v>22</v>
      </c>
      <c r="K5" s="8" t="s">
        <v>78</v>
      </c>
      <c r="L5" s="9">
        <v>105</v>
      </c>
      <c r="M5" s="9" t="s">
        <v>38</v>
      </c>
    </row>
    <row r="6" spans="1:13" s="12" customFormat="1">
      <c r="A6" s="8">
        <v>6</v>
      </c>
      <c r="B6" s="9">
        <v>1</v>
      </c>
      <c r="C6" s="9">
        <v>39.155116</v>
      </c>
      <c r="D6" s="9">
        <v>-123.622175</v>
      </c>
      <c r="E6" s="9" t="s">
        <v>26</v>
      </c>
      <c r="F6" s="8" t="s">
        <v>12</v>
      </c>
      <c r="G6" s="8" t="s">
        <v>12</v>
      </c>
      <c r="H6" s="11">
        <f>VLOOKUP(M6,Sheet2!$B$3:$D$47,3,0)</f>
        <v>4</v>
      </c>
      <c r="I6" s="11">
        <f>VLOOKUP(M6,Sheet2!$B$3:$C$47,2,0)</f>
        <v>24</v>
      </c>
      <c r="J6" s="11" t="s">
        <v>22</v>
      </c>
      <c r="K6" s="8" t="s">
        <v>78</v>
      </c>
      <c r="L6" s="9">
        <v>157</v>
      </c>
      <c r="M6" s="9" t="s">
        <v>39</v>
      </c>
    </row>
    <row r="7" spans="1:13" s="12" customFormat="1">
      <c r="A7" s="8">
        <v>8</v>
      </c>
      <c r="B7" s="9">
        <v>2</v>
      </c>
      <c r="C7" s="9">
        <v>39.864033999999997</v>
      </c>
      <c r="D7" s="9">
        <v>-122.200283</v>
      </c>
      <c r="E7" s="9" t="s">
        <v>24</v>
      </c>
      <c r="F7" s="8" t="s">
        <v>14</v>
      </c>
      <c r="G7" s="8" t="s">
        <v>34</v>
      </c>
      <c r="H7" s="11">
        <f>VLOOKUP(M7,Sheet2!$B$3:$D$47,3,0)</f>
        <v>3</v>
      </c>
      <c r="I7" s="11">
        <f>VLOOKUP(M7,Sheet2!$B$3:$C$47,2,0)</f>
        <v>20</v>
      </c>
      <c r="J7" s="11" t="s">
        <v>16</v>
      </c>
      <c r="K7" s="8" t="s">
        <v>80</v>
      </c>
      <c r="L7" s="9">
        <v>480</v>
      </c>
      <c r="M7" s="9" t="s">
        <v>55</v>
      </c>
    </row>
    <row r="8" spans="1:13" s="12" customFormat="1">
      <c r="A8" s="8">
        <v>9</v>
      </c>
      <c r="B8" s="9">
        <v>2</v>
      </c>
      <c r="C8" s="9">
        <v>39.849670000000003</v>
      </c>
      <c r="D8" s="9">
        <v>-122.20026</v>
      </c>
      <c r="E8" s="9" t="s">
        <v>24</v>
      </c>
      <c r="F8" s="8" t="s">
        <v>14</v>
      </c>
      <c r="G8" s="8" t="s">
        <v>21</v>
      </c>
      <c r="H8" s="11">
        <f>VLOOKUP(M8,Sheet2!$B$3:$D$47,3,0)</f>
        <v>2.5</v>
      </c>
      <c r="I8" s="11">
        <f>VLOOKUP(M8,Sheet2!$B$3:$C$47,2,0)</f>
        <v>16</v>
      </c>
      <c r="J8" s="11" t="s">
        <v>16</v>
      </c>
      <c r="K8" s="8" t="s">
        <v>80</v>
      </c>
      <c r="L8" s="9">
        <v>489.75</v>
      </c>
      <c r="M8" s="9" t="s">
        <v>56</v>
      </c>
    </row>
    <row r="9" spans="1:13" s="12" customFormat="1">
      <c r="A9" s="8">
        <v>10</v>
      </c>
      <c r="B9" s="9">
        <v>2</v>
      </c>
      <c r="C9" s="9">
        <v>39.791058999999997</v>
      </c>
      <c r="D9" s="9">
        <v>-122.203112</v>
      </c>
      <c r="E9" s="9" t="s">
        <v>24</v>
      </c>
      <c r="F9" s="8" t="s">
        <v>14</v>
      </c>
      <c r="G9" s="8" t="s">
        <v>34</v>
      </c>
      <c r="H9" s="11">
        <f>VLOOKUP(M9,Sheet2!$B$3:$D$47,3,0)</f>
        <v>2</v>
      </c>
      <c r="I9" s="11">
        <f>VLOOKUP(M9,Sheet2!$B$3:$C$47,2,0)</f>
        <v>18</v>
      </c>
      <c r="J9" s="11" t="s">
        <v>16</v>
      </c>
      <c r="K9" s="8" t="s">
        <v>80</v>
      </c>
      <c r="L9" s="9">
        <v>180.75</v>
      </c>
      <c r="M9" s="9" t="s">
        <v>57</v>
      </c>
    </row>
    <row r="10" spans="1:13" s="12" customFormat="1">
      <c r="A10" s="8">
        <v>11</v>
      </c>
      <c r="B10" s="9">
        <v>2</v>
      </c>
      <c r="C10" s="9">
        <v>39.785597000000003</v>
      </c>
      <c r="D10" s="9" t="s">
        <v>23</v>
      </c>
      <c r="E10" s="9" t="s">
        <v>24</v>
      </c>
      <c r="F10" s="8" t="s">
        <v>17</v>
      </c>
      <c r="G10" s="8" t="s">
        <v>18</v>
      </c>
      <c r="H10" s="11" t="s">
        <v>35</v>
      </c>
      <c r="I10" s="11" t="s">
        <v>35</v>
      </c>
      <c r="J10" s="11" t="s">
        <v>16</v>
      </c>
      <c r="K10" s="8" t="s">
        <v>80</v>
      </c>
      <c r="L10" s="9">
        <v>150</v>
      </c>
      <c r="M10" s="9" t="s">
        <v>71</v>
      </c>
    </row>
    <row r="11" spans="1:13" s="12" customFormat="1" ht="30">
      <c r="A11" s="8">
        <v>12</v>
      </c>
      <c r="B11" s="9">
        <v>2</v>
      </c>
      <c r="C11" s="9">
        <v>39.783845999999997</v>
      </c>
      <c r="D11" s="9">
        <v>-122.204543</v>
      </c>
      <c r="E11" s="9" t="s">
        <v>24</v>
      </c>
      <c r="F11" s="8" t="s">
        <v>19</v>
      </c>
      <c r="G11" s="8" t="s">
        <v>33</v>
      </c>
      <c r="H11" s="11">
        <v>5</v>
      </c>
      <c r="I11" s="11">
        <v>3</v>
      </c>
      <c r="J11" s="11" t="s">
        <v>13</v>
      </c>
      <c r="K11" s="8" t="s">
        <v>77</v>
      </c>
      <c r="L11" s="9">
        <v>232.5</v>
      </c>
      <c r="M11" s="9" t="s">
        <v>85</v>
      </c>
    </row>
    <row r="12" spans="1:13" s="12" customFormat="1">
      <c r="A12" s="8">
        <v>13</v>
      </c>
      <c r="B12" s="9">
        <v>2</v>
      </c>
      <c r="C12" s="9">
        <v>39.780419999999999</v>
      </c>
      <c r="D12" s="9">
        <v>-122.204714</v>
      </c>
      <c r="E12" s="9" t="s">
        <v>24</v>
      </c>
      <c r="F12" s="8" t="s">
        <v>70</v>
      </c>
      <c r="G12" s="8" t="s">
        <v>70</v>
      </c>
      <c r="H12" s="11" t="s">
        <v>35</v>
      </c>
      <c r="I12" s="11" t="s">
        <v>35</v>
      </c>
      <c r="J12" s="13" t="s">
        <v>16</v>
      </c>
      <c r="K12" s="8" t="s">
        <v>80</v>
      </c>
      <c r="L12" s="9">
        <v>150</v>
      </c>
      <c r="M12" s="9" t="s">
        <v>72</v>
      </c>
    </row>
    <row r="13" spans="1:13" s="12" customFormat="1">
      <c r="A13" s="8">
        <v>15</v>
      </c>
      <c r="B13" s="9">
        <v>3</v>
      </c>
      <c r="C13" s="9">
        <v>39.732551000000001</v>
      </c>
      <c r="D13" s="9">
        <v>-121.824428</v>
      </c>
      <c r="E13" s="9" t="s">
        <v>28</v>
      </c>
      <c r="F13" s="8" t="s">
        <v>12</v>
      </c>
      <c r="G13" s="8" t="s">
        <v>12</v>
      </c>
      <c r="H13" s="11">
        <v>6</v>
      </c>
      <c r="I13" s="11">
        <v>39</v>
      </c>
      <c r="J13" s="11" t="s">
        <v>13</v>
      </c>
      <c r="K13" s="8" t="s">
        <v>77</v>
      </c>
      <c r="L13" s="9">
        <v>343.25</v>
      </c>
      <c r="M13" s="9" t="s">
        <v>41</v>
      </c>
    </row>
    <row r="14" spans="1:13" s="12" customFormat="1">
      <c r="A14" s="8">
        <v>16</v>
      </c>
      <c r="B14" s="9">
        <v>3</v>
      </c>
      <c r="C14" s="9">
        <v>39.733347000000002</v>
      </c>
      <c r="D14" s="9">
        <v>-121.823227</v>
      </c>
      <c r="E14" s="9" t="s">
        <v>28</v>
      </c>
      <c r="F14" s="8" t="s">
        <v>12</v>
      </c>
      <c r="G14" s="8" t="s">
        <v>12</v>
      </c>
      <c r="H14" s="11">
        <f>VLOOKUP(M14,Sheet2!$B$3:$D$47,3,0)</f>
        <v>6</v>
      </c>
      <c r="I14" s="11">
        <f>VLOOKUP(M14,Sheet2!$B$3:$C$47,2,0)</f>
        <v>48</v>
      </c>
      <c r="J14" s="11" t="s">
        <v>13</v>
      </c>
      <c r="K14" s="8" t="s">
        <v>77</v>
      </c>
      <c r="L14" s="9">
        <v>392</v>
      </c>
      <c r="M14" s="9" t="s">
        <v>42</v>
      </c>
    </row>
    <row r="15" spans="1:13" s="12" customFormat="1">
      <c r="A15" s="8">
        <v>17</v>
      </c>
      <c r="B15" s="9">
        <v>3</v>
      </c>
      <c r="C15" s="9">
        <v>39.735388999999998</v>
      </c>
      <c r="D15" s="9">
        <v>-121.820099</v>
      </c>
      <c r="E15" s="9" t="s">
        <v>28</v>
      </c>
      <c r="F15" s="8" t="s">
        <v>12</v>
      </c>
      <c r="G15" s="8" t="s">
        <v>12</v>
      </c>
      <c r="H15" s="11">
        <f>VLOOKUP(M15,Sheet2!$B$3:$D$47,3,0)</f>
        <v>4</v>
      </c>
      <c r="I15" s="11">
        <f>VLOOKUP(M15,Sheet2!$B$3:$C$47,2,0)</f>
        <v>30</v>
      </c>
      <c r="J15" s="11" t="s">
        <v>22</v>
      </c>
      <c r="K15" s="8" t="s">
        <v>78</v>
      </c>
      <c r="L15" s="9">
        <v>189</v>
      </c>
      <c r="M15" s="9" t="s">
        <v>43</v>
      </c>
    </row>
    <row r="16" spans="1:13" s="12" customFormat="1">
      <c r="A16" s="8">
        <v>18</v>
      </c>
      <c r="B16" s="9">
        <v>3</v>
      </c>
      <c r="C16" s="9">
        <v>39.735169999999997</v>
      </c>
      <c r="D16" s="9" t="s">
        <v>27</v>
      </c>
      <c r="E16" s="9" t="s">
        <v>28</v>
      </c>
      <c r="F16" s="8" t="s">
        <v>12</v>
      </c>
      <c r="G16" s="8" t="s">
        <v>12</v>
      </c>
      <c r="H16" s="11">
        <f>VLOOKUP(M16,Sheet2!$B$3:$D$47,3,0)</f>
        <v>5</v>
      </c>
      <c r="I16" s="11">
        <f>VLOOKUP(M16,Sheet2!$B$3:$C$47,2,0)</f>
        <v>24</v>
      </c>
      <c r="J16" s="11" t="s">
        <v>22</v>
      </c>
      <c r="K16" s="8" t="s">
        <v>78</v>
      </c>
      <c r="L16" s="9">
        <v>203</v>
      </c>
      <c r="M16" s="9" t="s">
        <v>44</v>
      </c>
    </row>
    <row r="17" spans="1:13" s="12" customFormat="1">
      <c r="A17" s="8">
        <v>19</v>
      </c>
      <c r="B17" s="9">
        <v>3</v>
      </c>
      <c r="C17" s="9">
        <v>39.734518000000001</v>
      </c>
      <c r="D17" s="9">
        <v>-121.817246</v>
      </c>
      <c r="E17" s="9" t="s">
        <v>28</v>
      </c>
      <c r="F17" s="8" t="s">
        <v>14</v>
      </c>
      <c r="G17" s="8" t="s">
        <v>21</v>
      </c>
      <c r="H17" s="11">
        <f>VLOOKUP(M17,Sheet2!$B$3:$D$47,3,0)</f>
        <v>1.5</v>
      </c>
      <c r="I17" s="11">
        <f>VLOOKUP(M17,Sheet2!$B$3:$C$47,2,0)</f>
        <v>12</v>
      </c>
      <c r="J17" s="11" t="s">
        <v>20</v>
      </c>
      <c r="K17" s="8" t="s">
        <v>79</v>
      </c>
      <c r="L17" s="9">
        <v>129.5</v>
      </c>
      <c r="M17" s="9" t="s">
        <v>106</v>
      </c>
    </row>
    <row r="18" spans="1:13" s="12" customFormat="1">
      <c r="A18" s="8">
        <v>20</v>
      </c>
      <c r="B18" s="9">
        <v>3</v>
      </c>
      <c r="C18" s="9">
        <v>39.733598000000001</v>
      </c>
      <c r="D18" s="9">
        <v>-121.81593100000001</v>
      </c>
      <c r="E18" s="9" t="s">
        <v>28</v>
      </c>
      <c r="F18" s="8" t="s">
        <v>14</v>
      </c>
      <c r="G18" s="8" t="s">
        <v>34</v>
      </c>
      <c r="H18" s="11">
        <f>VLOOKUP(M18,Sheet2!$B$3:$D$47,3,0)</f>
        <v>2</v>
      </c>
      <c r="I18" s="11">
        <f>VLOOKUP(M18,Sheet2!$B$3:$C$47,2,0)</f>
        <v>14</v>
      </c>
      <c r="J18" s="11" t="s">
        <v>20</v>
      </c>
      <c r="K18" s="8" t="s">
        <v>79</v>
      </c>
      <c r="L18" s="9">
        <v>103</v>
      </c>
      <c r="M18" s="9" t="s">
        <v>59</v>
      </c>
    </row>
    <row r="19" spans="1:13" s="12" customFormat="1">
      <c r="A19" s="8">
        <v>21</v>
      </c>
      <c r="B19" s="9">
        <v>3</v>
      </c>
      <c r="C19" s="9">
        <v>39.731692000000002</v>
      </c>
      <c r="D19" s="9">
        <v>-121.813785</v>
      </c>
      <c r="E19" s="9" t="s">
        <v>28</v>
      </c>
      <c r="F19" s="8" t="s">
        <v>14</v>
      </c>
      <c r="G19" s="8" t="s">
        <v>21</v>
      </c>
      <c r="H19" s="11">
        <f>VLOOKUP(M19,Sheet2!$B$3:$D$47,3,0)</f>
        <v>3</v>
      </c>
      <c r="I19" s="11">
        <f>VLOOKUP(M19,Sheet2!$B$3:$C$47,2,0)</f>
        <v>22</v>
      </c>
      <c r="J19" s="11" t="s">
        <v>20</v>
      </c>
      <c r="K19" s="8" t="s">
        <v>79</v>
      </c>
      <c r="L19" s="9">
        <v>126</v>
      </c>
      <c r="M19" s="9" t="s">
        <v>58</v>
      </c>
    </row>
    <row r="20" spans="1:13" s="12" customFormat="1">
      <c r="A20" s="8">
        <v>22</v>
      </c>
      <c r="B20" s="9">
        <v>4</v>
      </c>
      <c r="C20" s="9">
        <v>39.774743999999998</v>
      </c>
      <c r="D20" s="9">
        <v>-123.24827500000001</v>
      </c>
      <c r="E20" s="9" t="s">
        <v>29</v>
      </c>
      <c r="F20" s="8" t="s">
        <v>12</v>
      </c>
      <c r="G20" s="8" t="s">
        <v>12</v>
      </c>
      <c r="H20" s="11">
        <f>VLOOKUP(M20,Sheet2!$B$3:$D$47,3,0)</f>
        <v>6</v>
      </c>
      <c r="I20" s="11">
        <f>VLOOKUP(M20,Sheet2!$B$3:$C$47,2,0)</f>
        <v>36</v>
      </c>
      <c r="J20" s="11" t="s">
        <v>13</v>
      </c>
      <c r="K20" s="8" t="s">
        <v>77</v>
      </c>
      <c r="L20" s="9">
        <v>382.25</v>
      </c>
      <c r="M20" s="9" t="s">
        <v>45</v>
      </c>
    </row>
    <row r="21" spans="1:13" s="12" customFormat="1">
      <c r="A21" s="8">
        <v>23</v>
      </c>
      <c r="B21" s="9">
        <v>4</v>
      </c>
      <c r="C21" s="9">
        <v>39.779881000000003</v>
      </c>
      <c r="D21" s="9">
        <v>-123.24827999999999</v>
      </c>
      <c r="E21" s="9" t="s">
        <v>29</v>
      </c>
      <c r="F21" s="8" t="s">
        <v>12</v>
      </c>
      <c r="G21" s="8" t="s">
        <v>12</v>
      </c>
      <c r="H21" s="11">
        <f>VLOOKUP(M21,Sheet2!$B$3:$D$47,3,0)</f>
        <v>4</v>
      </c>
      <c r="I21" s="11">
        <f>VLOOKUP(M21,Sheet2!$B$3:$C$47,2,0)</f>
        <v>36</v>
      </c>
      <c r="J21" s="11" t="s">
        <v>13</v>
      </c>
      <c r="K21" s="8" t="s">
        <v>77</v>
      </c>
      <c r="L21" s="9">
        <v>344.75</v>
      </c>
      <c r="M21" s="9" t="s">
        <v>46</v>
      </c>
    </row>
    <row r="22" spans="1:13" s="12" customFormat="1">
      <c r="A22" s="8">
        <v>24</v>
      </c>
      <c r="B22" s="9">
        <v>4</v>
      </c>
      <c r="C22" s="9">
        <v>39.784871000000003</v>
      </c>
      <c r="D22" s="9">
        <v>-123.248341</v>
      </c>
      <c r="E22" s="9" t="s">
        <v>29</v>
      </c>
      <c r="F22" s="8" t="s">
        <v>12</v>
      </c>
      <c r="G22" s="8" t="s">
        <v>12</v>
      </c>
      <c r="H22" s="11">
        <f>VLOOKUP(M22,Sheet2!$B$3:$D$47,3,0)</f>
        <v>5</v>
      </c>
      <c r="I22" s="11">
        <f>VLOOKUP(M22,Sheet2!$B$3:$C$47,2,0)</f>
        <v>36</v>
      </c>
      <c r="J22" s="11" t="s">
        <v>13</v>
      </c>
      <c r="K22" s="8" t="s">
        <v>77</v>
      </c>
      <c r="L22" s="9">
        <v>393.5</v>
      </c>
      <c r="M22" s="9" t="s">
        <v>47</v>
      </c>
    </row>
    <row r="23" spans="1:13" s="12" customFormat="1">
      <c r="A23" s="8">
        <v>25</v>
      </c>
      <c r="B23" s="9">
        <v>4</v>
      </c>
      <c r="C23" s="9">
        <v>39.792122999999997</v>
      </c>
      <c r="D23" s="9">
        <v>-123.24822</v>
      </c>
      <c r="E23" s="9" t="s">
        <v>29</v>
      </c>
      <c r="F23" s="8" t="s">
        <v>12</v>
      </c>
      <c r="G23" s="8" t="s">
        <v>12</v>
      </c>
      <c r="H23" s="11">
        <f>VLOOKUP(M23,Sheet2!$B$3:$D$47,3,0)</f>
        <v>4</v>
      </c>
      <c r="I23" s="11">
        <f>VLOOKUP(M23,Sheet2!$B$3:$C$47,2,0)</f>
        <v>30</v>
      </c>
      <c r="J23" s="11" t="s">
        <v>22</v>
      </c>
      <c r="K23" s="8" t="s">
        <v>78</v>
      </c>
      <c r="L23" s="9">
        <v>176</v>
      </c>
      <c r="M23" s="9" t="s">
        <v>48</v>
      </c>
    </row>
    <row r="24" spans="1:13" s="12" customFormat="1">
      <c r="A24" s="8">
        <v>26</v>
      </c>
      <c r="B24" s="9">
        <v>4</v>
      </c>
      <c r="C24" s="9">
        <v>39.813645999999999</v>
      </c>
      <c r="D24" s="9">
        <v>-123.248164</v>
      </c>
      <c r="E24" s="9" t="s">
        <v>29</v>
      </c>
      <c r="F24" s="8" t="s">
        <v>14</v>
      </c>
      <c r="G24" s="8" t="s">
        <v>34</v>
      </c>
      <c r="H24" s="11">
        <f>VLOOKUP(M24,Sheet2!$B$3:$D$47,3,0)</f>
        <v>3</v>
      </c>
      <c r="I24" s="11">
        <f>VLOOKUP(M24,Sheet2!$B$3:$C$47,2,0)</f>
        <v>24</v>
      </c>
      <c r="J24" s="11" t="s">
        <v>16</v>
      </c>
      <c r="K24" s="8" t="s">
        <v>80</v>
      </c>
      <c r="L24" s="9">
        <v>470.25</v>
      </c>
      <c r="M24" s="9" t="s">
        <v>104</v>
      </c>
    </row>
    <row r="25" spans="1:13" s="12" customFormat="1">
      <c r="A25" s="8">
        <v>27</v>
      </c>
      <c r="B25" s="9">
        <v>4</v>
      </c>
      <c r="C25" s="9">
        <v>39.817025999999998</v>
      </c>
      <c r="D25" s="9">
        <v>-123.24418799999999</v>
      </c>
      <c r="E25" s="9" t="s">
        <v>29</v>
      </c>
      <c r="F25" s="8" t="s">
        <v>14</v>
      </c>
      <c r="G25" s="8" t="s">
        <v>34</v>
      </c>
      <c r="H25" s="11">
        <f>VLOOKUP(M25,Sheet2!$B$3:$D$47,3,0)</f>
        <v>2.5</v>
      </c>
      <c r="I25" s="11">
        <f>VLOOKUP(M25,Sheet2!$B$3:$C$47,2,0)</f>
        <v>16</v>
      </c>
      <c r="J25" s="11" t="s">
        <v>16</v>
      </c>
      <c r="K25" s="8" t="s">
        <v>80</v>
      </c>
      <c r="L25" s="9">
        <v>472.5</v>
      </c>
      <c r="M25" s="9" t="s">
        <v>60</v>
      </c>
    </row>
    <row r="26" spans="1:13" s="12" customFormat="1">
      <c r="A26" s="8">
        <v>29</v>
      </c>
      <c r="B26" s="9">
        <v>5</v>
      </c>
      <c r="C26" s="9">
        <v>36.923045999999999</v>
      </c>
      <c r="D26" s="9">
        <v>-119.887596</v>
      </c>
      <c r="E26" s="9" t="s">
        <v>30</v>
      </c>
      <c r="F26" s="8" t="s">
        <v>12</v>
      </c>
      <c r="G26" s="8" t="s">
        <v>12</v>
      </c>
      <c r="H26" s="11">
        <f>VLOOKUP(M26,Sheet2!$B$3:$D$47,3,0)</f>
        <v>5</v>
      </c>
      <c r="I26" s="11">
        <f>VLOOKUP(M26,Sheet2!$B$3:$C$47,2,0)</f>
        <v>54</v>
      </c>
      <c r="J26" s="11" t="s">
        <v>16</v>
      </c>
      <c r="K26" s="8" t="s">
        <v>80</v>
      </c>
      <c r="L26" s="9">
        <v>470.25</v>
      </c>
      <c r="M26" s="9" t="s">
        <v>50</v>
      </c>
    </row>
    <row r="27" spans="1:13" s="12" customFormat="1">
      <c r="A27" s="8">
        <v>30</v>
      </c>
      <c r="B27" s="9">
        <v>5</v>
      </c>
      <c r="C27" s="9">
        <v>36.923107999999999</v>
      </c>
      <c r="D27" s="9">
        <v>-119.857383</v>
      </c>
      <c r="E27" s="9" t="s">
        <v>30</v>
      </c>
      <c r="F27" s="8" t="s">
        <v>12</v>
      </c>
      <c r="G27" s="8" t="s">
        <v>12</v>
      </c>
      <c r="H27" s="11">
        <f>VLOOKUP(M27,Sheet2!$B$3:$D$47,3,0)</f>
        <v>5</v>
      </c>
      <c r="I27" s="11">
        <f>VLOOKUP(M27,Sheet2!$B$3:$C$47,2,0)</f>
        <v>48</v>
      </c>
      <c r="J27" s="11" t="s">
        <v>13</v>
      </c>
      <c r="K27" s="8" t="s">
        <v>77</v>
      </c>
      <c r="L27" s="9">
        <v>356.75</v>
      </c>
      <c r="M27" s="9" t="s">
        <v>51</v>
      </c>
    </row>
    <row r="28" spans="1:13" s="12" customFormat="1">
      <c r="A28" s="8">
        <v>32</v>
      </c>
      <c r="B28" s="9">
        <v>5</v>
      </c>
      <c r="C28" s="9">
        <v>36.923290999999999</v>
      </c>
      <c r="D28" s="9">
        <v>-119.794406</v>
      </c>
      <c r="E28" s="9" t="s">
        <v>30</v>
      </c>
      <c r="F28" s="8" t="s">
        <v>14</v>
      </c>
      <c r="G28" s="8" t="s">
        <v>34</v>
      </c>
      <c r="H28" s="11">
        <f>VLOOKUP(M28,Sheet2!$B$3:$D$47,3,0)</f>
        <v>2</v>
      </c>
      <c r="I28" s="11">
        <f>VLOOKUP(M28,Sheet2!$B$3:$C$47,2,0)</f>
        <v>18</v>
      </c>
      <c r="J28" s="11" t="s">
        <v>22</v>
      </c>
      <c r="K28" s="8" t="s">
        <v>78</v>
      </c>
      <c r="L28" s="9">
        <v>127</v>
      </c>
      <c r="M28" s="9" t="s">
        <v>61</v>
      </c>
    </row>
    <row r="29" spans="1:13" s="12" customFormat="1">
      <c r="A29" s="8">
        <v>33</v>
      </c>
      <c r="B29" s="9">
        <v>5</v>
      </c>
      <c r="C29" s="9">
        <v>36.920414999999998</v>
      </c>
      <c r="D29" s="9">
        <v>-119.793921</v>
      </c>
      <c r="E29" s="9" t="s">
        <v>30</v>
      </c>
      <c r="F29" s="8" t="s">
        <v>14</v>
      </c>
      <c r="G29" s="8" t="s">
        <v>34</v>
      </c>
      <c r="H29" s="11">
        <f>VLOOKUP(M29,Sheet2!$B$3:$D$47,3,0)</f>
        <v>2</v>
      </c>
      <c r="I29" s="11">
        <f>VLOOKUP(M29,Sheet2!$B$3:$C$47,2,0)</f>
        <v>15</v>
      </c>
      <c r="J29" s="11" t="s">
        <v>22</v>
      </c>
      <c r="K29" s="8" t="s">
        <v>78</v>
      </c>
      <c r="L29" s="9">
        <v>129</v>
      </c>
      <c r="M29" s="9" t="s">
        <v>62</v>
      </c>
    </row>
    <row r="30" spans="1:13" s="12" customFormat="1">
      <c r="A30" s="8">
        <v>34</v>
      </c>
      <c r="B30" s="9">
        <v>5</v>
      </c>
      <c r="C30" s="9">
        <v>36.909621999999999</v>
      </c>
      <c r="D30" s="9">
        <v>-119.79269600000001</v>
      </c>
      <c r="E30" s="9" t="s">
        <v>30</v>
      </c>
      <c r="F30" s="8" t="s">
        <v>14</v>
      </c>
      <c r="G30" s="8" t="s">
        <v>34</v>
      </c>
      <c r="H30" s="11">
        <f>VLOOKUP(M30,Sheet2!$B$3:$D$47,3,0)</f>
        <v>3</v>
      </c>
      <c r="I30" s="11">
        <f>VLOOKUP(M30,Sheet2!$B$3:$C$47,2,0)</f>
        <v>20</v>
      </c>
      <c r="J30" s="11" t="s">
        <v>22</v>
      </c>
      <c r="K30" s="8" t="s">
        <v>78</v>
      </c>
      <c r="L30" s="9">
        <v>173</v>
      </c>
      <c r="M30" s="9" t="s">
        <v>63</v>
      </c>
    </row>
    <row r="31" spans="1:13" s="12" customFormat="1">
      <c r="A31" s="8">
        <v>35</v>
      </c>
      <c r="B31" s="9">
        <v>5</v>
      </c>
      <c r="C31" s="9">
        <v>36.906540999999997</v>
      </c>
      <c r="D31" s="9">
        <v>-119.792517</v>
      </c>
      <c r="E31" s="9" t="s">
        <v>30</v>
      </c>
      <c r="F31" s="8" t="s">
        <v>17</v>
      </c>
      <c r="G31" s="8" t="s">
        <v>18</v>
      </c>
      <c r="H31" s="11" t="s">
        <v>35</v>
      </c>
      <c r="I31" s="11" t="s">
        <v>35</v>
      </c>
      <c r="J31" s="11" t="s">
        <v>22</v>
      </c>
      <c r="K31" s="8" t="s">
        <v>78</v>
      </c>
      <c r="L31" s="9">
        <v>150</v>
      </c>
      <c r="M31" s="9" t="s">
        <v>108</v>
      </c>
    </row>
    <row r="32" spans="1:13" s="12" customFormat="1" ht="30">
      <c r="A32" s="8">
        <v>36</v>
      </c>
      <c r="B32" s="9">
        <v>6</v>
      </c>
      <c r="C32" s="9">
        <v>37.303842000000003</v>
      </c>
      <c r="D32" s="9">
        <v>-120.492983</v>
      </c>
      <c r="E32" s="9" t="s">
        <v>31</v>
      </c>
      <c r="F32" s="8" t="s">
        <v>19</v>
      </c>
      <c r="G32" s="8" t="s">
        <v>33</v>
      </c>
      <c r="H32" s="11">
        <v>5</v>
      </c>
      <c r="I32" s="11">
        <v>3</v>
      </c>
      <c r="J32" s="11" t="s">
        <v>13</v>
      </c>
      <c r="K32" s="8" t="s">
        <v>77</v>
      </c>
      <c r="L32" s="9">
        <v>232.5</v>
      </c>
      <c r="M32" s="9" t="s">
        <v>75</v>
      </c>
    </row>
    <row r="33" spans="1:13" s="12" customFormat="1">
      <c r="A33" s="8">
        <v>37</v>
      </c>
      <c r="B33" s="9">
        <v>6</v>
      </c>
      <c r="C33" s="9">
        <v>37.306044</v>
      </c>
      <c r="D33" s="9">
        <v>-120.491694</v>
      </c>
      <c r="E33" s="9" t="s">
        <v>31</v>
      </c>
      <c r="F33" s="8" t="s">
        <v>70</v>
      </c>
      <c r="G33" s="8" t="s">
        <v>70</v>
      </c>
      <c r="H33" s="11" t="s">
        <v>35</v>
      </c>
      <c r="I33" s="11" t="s">
        <v>35</v>
      </c>
      <c r="J33" s="11" t="s">
        <v>13</v>
      </c>
      <c r="K33" s="8" t="s">
        <v>77</v>
      </c>
      <c r="L33" s="9">
        <v>150</v>
      </c>
      <c r="M33" s="9" t="s">
        <v>73</v>
      </c>
    </row>
    <row r="34" spans="1:13" s="12" customFormat="1">
      <c r="A34" s="8">
        <v>38</v>
      </c>
      <c r="B34" s="9">
        <v>6</v>
      </c>
      <c r="C34" s="9">
        <v>37.309505000000001</v>
      </c>
      <c r="D34" s="9">
        <v>-120.489665</v>
      </c>
      <c r="E34" s="9" t="s">
        <v>31</v>
      </c>
      <c r="F34" s="8" t="s">
        <v>12</v>
      </c>
      <c r="G34" s="8" t="s">
        <v>12</v>
      </c>
      <c r="H34" s="11">
        <f>VLOOKUP(M34,Sheet2!$B$3:$D$47,3,0)</f>
        <v>6</v>
      </c>
      <c r="I34" s="11">
        <f>VLOOKUP(M34,Sheet2!$B$3:$C$47,2,0)</f>
        <v>40</v>
      </c>
      <c r="J34" s="11" t="s">
        <v>13</v>
      </c>
      <c r="K34" s="8" t="s">
        <v>77</v>
      </c>
      <c r="L34" s="9">
        <v>342.5</v>
      </c>
      <c r="M34" s="9" t="s">
        <v>82</v>
      </c>
    </row>
    <row r="35" spans="1:13" s="12" customFormat="1">
      <c r="A35" s="8">
        <v>39</v>
      </c>
      <c r="B35" s="9">
        <v>6</v>
      </c>
      <c r="C35" s="9">
        <v>37.311574999999998</v>
      </c>
      <c r="D35" s="9">
        <v>-120.48854300000001</v>
      </c>
      <c r="E35" s="9" t="s">
        <v>31</v>
      </c>
      <c r="F35" s="8" t="s">
        <v>12</v>
      </c>
      <c r="G35" s="8" t="s">
        <v>12</v>
      </c>
      <c r="H35" s="11">
        <f>VLOOKUP(M35,Sheet2!$B$3:$D$47,3,0)</f>
        <v>3</v>
      </c>
      <c r="I35" s="11">
        <f>VLOOKUP(M35,Sheet2!$B$3:$C$47,2,0)</f>
        <v>145</v>
      </c>
      <c r="J35" s="11" t="s">
        <v>16</v>
      </c>
      <c r="K35" s="8" t="s">
        <v>80</v>
      </c>
      <c r="L35" s="9">
        <v>474.75</v>
      </c>
      <c r="M35" s="9" t="s">
        <v>101</v>
      </c>
    </row>
    <row r="36" spans="1:13" s="12" customFormat="1">
      <c r="A36" s="8">
        <v>40</v>
      </c>
      <c r="B36" s="9">
        <v>6</v>
      </c>
      <c r="C36" s="9">
        <v>37.313726000000003</v>
      </c>
      <c r="D36" s="9">
        <v>-120.487458</v>
      </c>
      <c r="E36" s="9" t="s">
        <v>31</v>
      </c>
      <c r="F36" s="8" t="s">
        <v>12</v>
      </c>
      <c r="G36" s="8" t="s">
        <v>12</v>
      </c>
      <c r="H36" s="11">
        <f>VLOOKUP(M36,Sheet2!$B$3:$D$47,3,0)</f>
        <v>5</v>
      </c>
      <c r="I36" s="11">
        <f>VLOOKUP(M36,Sheet2!$B$3:$C$47,2,0)</f>
        <v>50</v>
      </c>
      <c r="J36" s="11" t="s">
        <v>16</v>
      </c>
      <c r="K36" s="8" t="s">
        <v>80</v>
      </c>
      <c r="L36" s="9">
        <v>484.5</v>
      </c>
      <c r="M36" s="9" t="s">
        <v>83</v>
      </c>
    </row>
    <row r="37" spans="1:13" s="12" customFormat="1">
      <c r="A37" s="8">
        <v>41</v>
      </c>
      <c r="B37" s="9">
        <v>6</v>
      </c>
      <c r="C37" s="9">
        <v>37.313949000000001</v>
      </c>
      <c r="D37" s="9">
        <v>-120.48864500000001</v>
      </c>
      <c r="E37" s="9" t="s">
        <v>31</v>
      </c>
      <c r="F37" s="8" t="s">
        <v>12</v>
      </c>
      <c r="G37" s="8" t="s">
        <v>12</v>
      </c>
      <c r="H37" s="11">
        <f>VLOOKUP(M37,Sheet2!$B$3:$D$47,3,0)</f>
        <v>4</v>
      </c>
      <c r="I37" s="11">
        <f>VLOOKUP(M37,Sheet2!$B$3:$C$47,2,0)</f>
        <v>55</v>
      </c>
      <c r="J37" s="11" t="s">
        <v>16</v>
      </c>
      <c r="K37" s="8" t="s">
        <v>80</v>
      </c>
      <c r="L37" s="9">
        <v>475.5</v>
      </c>
      <c r="M37" s="9" t="s">
        <v>98</v>
      </c>
    </row>
    <row r="38" spans="1:13" s="12" customFormat="1">
      <c r="A38" s="8">
        <v>42</v>
      </c>
      <c r="B38" s="9">
        <v>6</v>
      </c>
      <c r="C38" s="9">
        <v>37.314964000000003</v>
      </c>
      <c r="D38" s="9">
        <v>-120.492013</v>
      </c>
      <c r="E38" s="9" t="s">
        <v>31</v>
      </c>
      <c r="F38" s="8" t="s">
        <v>12</v>
      </c>
      <c r="G38" s="8" t="s">
        <v>12</v>
      </c>
      <c r="H38" s="11">
        <f>VLOOKUP(M38,Sheet2!$B$3:$D$47,3,0)</f>
        <v>6</v>
      </c>
      <c r="I38" s="11">
        <f>VLOOKUP(M38,Sheet2!$B$3:$C$47,2,0)</f>
        <v>48</v>
      </c>
      <c r="J38" s="11" t="s">
        <v>13</v>
      </c>
      <c r="K38" s="8" t="s">
        <v>77</v>
      </c>
      <c r="L38" s="9">
        <v>334.25</v>
      </c>
      <c r="M38" s="9" t="s">
        <v>86</v>
      </c>
    </row>
    <row r="39" spans="1:13" s="12" customFormat="1">
      <c r="A39" s="8">
        <v>45</v>
      </c>
      <c r="B39" s="9">
        <v>7</v>
      </c>
      <c r="C39" s="9">
        <v>37.466999999999999</v>
      </c>
      <c r="D39" s="9">
        <v>-120.81531200000001</v>
      </c>
      <c r="E39" s="9" t="s">
        <v>15</v>
      </c>
      <c r="F39" s="8" t="s">
        <v>14</v>
      </c>
      <c r="G39" s="8" t="s">
        <v>21</v>
      </c>
      <c r="H39" s="11">
        <f>VLOOKUP(M39,Sheet2!$B$3:$D$47,3,0)</f>
        <v>1.5</v>
      </c>
      <c r="I39" s="11">
        <f>VLOOKUP(M39,Sheet2!$B$3:$C$47,2,0)</f>
        <v>12</v>
      </c>
      <c r="J39" s="11" t="s">
        <v>13</v>
      </c>
      <c r="K39" s="8" t="s">
        <v>77</v>
      </c>
      <c r="L39" s="9">
        <v>278.5</v>
      </c>
      <c r="M39" s="9" t="s">
        <v>66</v>
      </c>
    </row>
    <row r="40" spans="1:13" s="12" customFormat="1">
      <c r="A40" s="8">
        <v>46</v>
      </c>
      <c r="B40" s="9">
        <v>7</v>
      </c>
      <c r="C40" s="9">
        <v>37.466585000000002</v>
      </c>
      <c r="D40" s="9">
        <v>-120.81477</v>
      </c>
      <c r="E40" s="9" t="s">
        <v>15</v>
      </c>
      <c r="F40" s="8" t="s">
        <v>12</v>
      </c>
      <c r="G40" s="8" t="s">
        <v>12</v>
      </c>
      <c r="H40" s="11">
        <f>VLOOKUP(M40,Sheet2!$B$3:$D$47,3,0)</f>
        <v>5</v>
      </c>
      <c r="I40" s="11">
        <f>VLOOKUP(M40,Sheet2!$B$3:$C$47,2,0)</f>
        <v>27</v>
      </c>
      <c r="J40" s="11" t="s">
        <v>22</v>
      </c>
      <c r="K40" s="8" t="s">
        <v>78</v>
      </c>
      <c r="L40" s="9">
        <v>83</v>
      </c>
      <c r="M40" s="9" t="s">
        <v>67</v>
      </c>
    </row>
    <row r="41" spans="1:13" s="12" customFormat="1">
      <c r="A41" s="8">
        <v>47</v>
      </c>
      <c r="B41" s="9">
        <v>7</v>
      </c>
      <c r="C41" s="9">
        <v>37.466560999999999</v>
      </c>
      <c r="D41" s="9">
        <v>-120.81433699999999</v>
      </c>
      <c r="E41" s="9" t="s">
        <v>15</v>
      </c>
      <c r="F41" s="8" t="s">
        <v>12</v>
      </c>
      <c r="G41" s="8" t="s">
        <v>12</v>
      </c>
      <c r="H41" s="11">
        <f>VLOOKUP(M41,Sheet2!$B$3:$D$47,3,0)</f>
        <v>6</v>
      </c>
      <c r="I41" s="11">
        <f>VLOOKUP(M41,Sheet2!$B$3:$C$47,2,0)</f>
        <v>26</v>
      </c>
      <c r="J41" s="11" t="s">
        <v>22</v>
      </c>
      <c r="K41" s="8" t="s">
        <v>78</v>
      </c>
      <c r="L41" s="9">
        <v>173</v>
      </c>
      <c r="M41" s="9" t="s">
        <v>68</v>
      </c>
    </row>
    <row r="42" spans="1:13" s="12" customFormat="1">
      <c r="A42" s="8">
        <v>48</v>
      </c>
      <c r="B42" s="9">
        <v>7</v>
      </c>
      <c r="C42" s="9">
        <v>37.466828999999997</v>
      </c>
      <c r="D42" s="9">
        <v>-120.81363899999999</v>
      </c>
      <c r="E42" s="9" t="s">
        <v>15</v>
      </c>
      <c r="F42" s="8" t="s">
        <v>12</v>
      </c>
      <c r="G42" s="8" t="s">
        <v>12</v>
      </c>
      <c r="H42" s="11">
        <f>VLOOKUP(M42,Sheet2!$B$3:$D$47,3,0)</f>
        <v>5</v>
      </c>
      <c r="I42" s="11">
        <f>VLOOKUP(M42,Sheet2!$B$3:$C$47,2,0)</f>
        <v>22</v>
      </c>
      <c r="J42" s="11" t="s">
        <v>22</v>
      </c>
      <c r="K42" s="8" t="s">
        <v>78</v>
      </c>
      <c r="L42" s="9">
        <v>163</v>
      </c>
      <c r="M42" s="9" t="s">
        <v>69</v>
      </c>
    </row>
    <row r="43" spans="1:13" s="12" customFormat="1" ht="30">
      <c r="A43" s="8">
        <v>49</v>
      </c>
      <c r="B43" s="9">
        <v>7</v>
      </c>
      <c r="C43" s="9">
        <v>37.466763</v>
      </c>
      <c r="D43" s="9">
        <v>-120.81296</v>
      </c>
      <c r="E43" s="9" t="s">
        <v>15</v>
      </c>
      <c r="F43" s="8" t="s">
        <v>19</v>
      </c>
      <c r="G43" s="8" t="s">
        <v>33</v>
      </c>
      <c r="H43" s="11">
        <v>5</v>
      </c>
      <c r="I43" s="11">
        <v>3</v>
      </c>
      <c r="J43" s="11" t="s">
        <v>13</v>
      </c>
      <c r="K43" s="8" t="s">
        <v>77</v>
      </c>
      <c r="L43" s="9">
        <v>232.5</v>
      </c>
      <c r="M43" s="9" t="s">
        <v>76</v>
      </c>
    </row>
    <row r="44" spans="1:13" s="12" customFormat="1">
      <c r="A44" s="8">
        <v>50</v>
      </c>
      <c r="B44" s="9">
        <v>8</v>
      </c>
      <c r="C44" s="9">
        <v>37.535029000000002</v>
      </c>
      <c r="D44" s="9">
        <v>-120.862257</v>
      </c>
      <c r="E44" s="9" t="s">
        <v>32</v>
      </c>
      <c r="F44" s="8" t="s">
        <v>70</v>
      </c>
      <c r="G44" s="8" t="s">
        <v>70</v>
      </c>
      <c r="H44" s="11" t="s">
        <v>35</v>
      </c>
      <c r="I44" s="11" t="s">
        <v>35</v>
      </c>
      <c r="J44" s="11" t="s">
        <v>13</v>
      </c>
      <c r="K44" s="8" t="s">
        <v>77</v>
      </c>
      <c r="L44" s="9">
        <v>150</v>
      </c>
      <c r="M44" s="9" t="s">
        <v>74</v>
      </c>
    </row>
    <row r="45" spans="1:13" s="12" customFormat="1">
      <c r="A45" s="8">
        <v>51</v>
      </c>
      <c r="B45" s="9">
        <v>8</v>
      </c>
      <c r="C45" s="9">
        <v>37.534869999999998</v>
      </c>
      <c r="D45" s="9">
        <v>-120.86442700000001</v>
      </c>
      <c r="E45" s="9" t="s">
        <v>32</v>
      </c>
      <c r="F45" s="8" t="s">
        <v>17</v>
      </c>
      <c r="G45" s="8" t="s">
        <v>18</v>
      </c>
      <c r="H45" s="11" t="s">
        <v>35</v>
      </c>
      <c r="I45" s="11" t="s">
        <v>35</v>
      </c>
      <c r="J45" s="11" t="s">
        <v>13</v>
      </c>
      <c r="K45" s="8" t="s">
        <v>77</v>
      </c>
      <c r="L45" s="9">
        <v>150</v>
      </c>
      <c r="M45" s="9" t="s">
        <v>109</v>
      </c>
    </row>
    <row r="46" spans="1:13" s="12" customFormat="1">
      <c r="A46" s="8">
        <v>53</v>
      </c>
      <c r="B46" s="9">
        <v>8</v>
      </c>
      <c r="C46" s="9">
        <v>37.534078999999998</v>
      </c>
      <c r="D46" s="9">
        <v>-120.86527599999999</v>
      </c>
      <c r="E46" s="9" t="s">
        <v>32</v>
      </c>
      <c r="F46" s="9"/>
      <c r="G46" s="8" t="s">
        <v>12</v>
      </c>
      <c r="H46" s="11">
        <f>VLOOKUP(M46,Sheet2!$B$3:$D$47,3,0)</f>
        <v>6</v>
      </c>
      <c r="I46" s="11">
        <f>VLOOKUP(M46,Sheet2!$B$3:$C$47,2,0)</f>
        <v>120</v>
      </c>
      <c r="J46" s="11" t="s">
        <v>16</v>
      </c>
      <c r="K46" s="8" t="s">
        <v>80</v>
      </c>
      <c r="L46" s="9">
        <v>496.5</v>
      </c>
      <c r="M46" s="9" t="s">
        <v>84</v>
      </c>
    </row>
    <row r="47" spans="1:13" s="12" customFormat="1">
      <c r="A47" s="8">
        <v>54</v>
      </c>
      <c r="B47" s="9">
        <v>8</v>
      </c>
      <c r="C47" s="9">
        <v>37.534557</v>
      </c>
      <c r="D47" s="9">
        <v>-120.864552</v>
      </c>
      <c r="E47" s="9" t="s">
        <v>32</v>
      </c>
      <c r="F47" s="9"/>
      <c r="G47" s="8" t="s">
        <v>12</v>
      </c>
      <c r="H47" s="11">
        <f>VLOOKUP(M47,Sheet2!$B$3:$D$47,3,0)</f>
        <v>6</v>
      </c>
      <c r="I47" s="11">
        <f>VLOOKUP(M47,Sheet2!$B$3:$C$47,2,0)</f>
        <v>75</v>
      </c>
      <c r="J47" s="11" t="s">
        <v>16</v>
      </c>
      <c r="K47" s="8" t="s">
        <v>80</v>
      </c>
      <c r="L47" s="9">
        <v>455.25</v>
      </c>
      <c r="M47" s="9" t="s">
        <v>87</v>
      </c>
    </row>
  </sheetData>
  <autoFilter ref="A1:N47" xr:uid="{35CE7708-178B-4824-B67D-19590983A603}"/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0285-FB8E-4C1F-A409-C6E873EC3E07}">
  <dimension ref="B2:F47"/>
  <sheetViews>
    <sheetView topLeftCell="A2" workbookViewId="0">
      <selection activeCell="B11" sqref="B11"/>
    </sheetView>
  </sheetViews>
  <sheetFormatPr defaultRowHeight="15"/>
  <cols>
    <col min="2" max="2" width="21.5703125" customWidth="1"/>
    <col min="3" max="3" width="24.28515625" customWidth="1"/>
    <col min="4" max="4" width="22.7109375" customWidth="1"/>
    <col min="5" max="5" width="31.5703125" customWidth="1"/>
  </cols>
  <sheetData>
    <row r="2" spans="2:6">
      <c r="B2" s="4" t="s">
        <v>11</v>
      </c>
      <c r="C2" s="4" t="s">
        <v>88</v>
      </c>
      <c r="D2" s="4" t="s">
        <v>89</v>
      </c>
      <c r="E2" s="4" t="s">
        <v>90</v>
      </c>
    </row>
    <row r="3" spans="2:6" ht="30">
      <c r="B3" s="6" t="s">
        <v>69</v>
      </c>
      <c r="C3" s="7">
        <v>22</v>
      </c>
      <c r="D3" s="7">
        <v>5</v>
      </c>
      <c r="E3" s="5" t="s">
        <v>91</v>
      </c>
    </row>
    <row r="4" spans="2:6">
      <c r="B4" s="6" t="s">
        <v>68</v>
      </c>
      <c r="C4" s="7">
        <v>26</v>
      </c>
      <c r="D4" s="7">
        <v>6</v>
      </c>
      <c r="E4" s="5" t="s">
        <v>92</v>
      </c>
    </row>
    <row r="5" spans="2:6">
      <c r="B5" s="6" t="s">
        <v>67</v>
      </c>
      <c r="C5" s="7">
        <v>27</v>
      </c>
      <c r="D5" s="7">
        <v>5</v>
      </c>
      <c r="E5" s="5" t="s">
        <v>93</v>
      </c>
    </row>
    <row r="6" spans="2:6">
      <c r="B6" s="6" t="s">
        <v>87</v>
      </c>
      <c r="C6" s="7">
        <v>75</v>
      </c>
      <c r="D6" s="7">
        <v>6</v>
      </c>
      <c r="E6" s="5" t="s">
        <v>94</v>
      </c>
    </row>
    <row r="7" spans="2:6">
      <c r="B7" s="6" t="s">
        <v>84</v>
      </c>
      <c r="C7" s="7">
        <v>120</v>
      </c>
      <c r="D7" s="7">
        <v>6</v>
      </c>
      <c r="E7" s="5" t="s">
        <v>95</v>
      </c>
    </row>
    <row r="8" spans="2:6" ht="30">
      <c r="B8" s="6" t="s">
        <v>96</v>
      </c>
      <c r="C8" s="7">
        <v>170</v>
      </c>
      <c r="D8" s="7">
        <v>4</v>
      </c>
      <c r="E8" s="5" t="s">
        <v>97</v>
      </c>
    </row>
    <row r="9" spans="2:6">
      <c r="B9" s="6" t="s">
        <v>98</v>
      </c>
      <c r="C9" s="7">
        <v>55</v>
      </c>
      <c r="D9" s="7">
        <v>4</v>
      </c>
      <c r="E9" s="5" t="s">
        <v>99</v>
      </c>
    </row>
    <row r="10" spans="2:6">
      <c r="B10" s="6" t="s">
        <v>83</v>
      </c>
      <c r="C10" s="7">
        <v>50</v>
      </c>
      <c r="D10" s="7">
        <v>5</v>
      </c>
      <c r="E10" s="5" t="s">
        <v>100</v>
      </c>
    </row>
    <row r="11" spans="2:6">
      <c r="B11" s="6" t="s">
        <v>101</v>
      </c>
      <c r="C11" s="7">
        <v>145</v>
      </c>
      <c r="D11" s="7">
        <v>3</v>
      </c>
      <c r="E11" s="5" t="s">
        <v>102</v>
      </c>
    </row>
    <row r="12" spans="2:6" ht="30">
      <c r="B12" s="6" t="s">
        <v>82</v>
      </c>
      <c r="C12" s="7">
        <v>40</v>
      </c>
      <c r="D12" s="7">
        <v>6</v>
      </c>
      <c r="E12" s="5" t="s">
        <v>103</v>
      </c>
    </row>
    <row r="13" spans="2:6">
      <c r="B13" s="5" t="s">
        <v>45</v>
      </c>
      <c r="C13" s="5">
        <v>36</v>
      </c>
      <c r="D13" s="5">
        <v>6</v>
      </c>
      <c r="F13" s="5"/>
    </row>
    <row r="14" spans="2:6">
      <c r="B14" s="5" t="s">
        <v>44</v>
      </c>
      <c r="C14" s="5">
        <v>24</v>
      </c>
      <c r="D14" s="5">
        <v>5</v>
      </c>
      <c r="F14" s="5"/>
    </row>
    <row r="15" spans="2:6">
      <c r="B15" s="5" t="s">
        <v>43</v>
      </c>
      <c r="C15" s="5">
        <v>30</v>
      </c>
      <c r="D15" s="5">
        <v>4</v>
      </c>
      <c r="F15" s="5"/>
    </row>
    <row r="16" spans="2:6">
      <c r="B16" s="5" t="s">
        <v>42</v>
      </c>
      <c r="C16" s="5">
        <v>48</v>
      </c>
      <c r="D16" s="5">
        <v>6</v>
      </c>
      <c r="F16" s="5"/>
    </row>
    <row r="17" spans="2:6">
      <c r="B17" s="5" t="s">
        <v>40</v>
      </c>
      <c r="C17" s="5">
        <v>36</v>
      </c>
      <c r="D17" s="5">
        <v>5</v>
      </c>
      <c r="F17" s="5"/>
    </row>
    <row r="18" spans="2:6">
      <c r="B18" s="5" t="s">
        <v>39</v>
      </c>
      <c r="C18" s="5">
        <v>24</v>
      </c>
      <c r="D18" s="5">
        <v>4</v>
      </c>
      <c r="F18" s="5"/>
    </row>
    <row r="19" spans="2:6">
      <c r="B19" s="5" t="s">
        <v>38</v>
      </c>
      <c r="C19" s="5">
        <v>30</v>
      </c>
      <c r="D19" s="5">
        <v>4</v>
      </c>
      <c r="F19" s="5"/>
    </row>
    <row r="20" spans="2:6">
      <c r="B20" s="5" t="s">
        <v>37</v>
      </c>
      <c r="C20" s="5">
        <v>42</v>
      </c>
      <c r="D20" s="5">
        <v>7</v>
      </c>
      <c r="F20" s="5"/>
    </row>
    <row r="21" spans="2:6">
      <c r="B21" s="5" t="s">
        <v>86</v>
      </c>
      <c r="C21" s="5">
        <v>48</v>
      </c>
      <c r="D21" s="5">
        <v>6</v>
      </c>
      <c r="F21" s="5"/>
    </row>
    <row r="22" spans="2:6">
      <c r="B22" t="s">
        <v>105</v>
      </c>
      <c r="C22">
        <v>30</v>
      </c>
      <c r="D22">
        <v>4</v>
      </c>
    </row>
    <row r="23" spans="2:6">
      <c r="B23" t="s">
        <v>36</v>
      </c>
      <c r="C23">
        <v>24</v>
      </c>
      <c r="D23">
        <v>3</v>
      </c>
    </row>
    <row r="24" spans="2:6">
      <c r="B24" t="s">
        <v>54</v>
      </c>
      <c r="C24">
        <v>36</v>
      </c>
      <c r="D24">
        <v>4</v>
      </c>
    </row>
    <row r="25" spans="2:6">
      <c r="B25" t="s">
        <v>52</v>
      </c>
      <c r="C25">
        <v>36</v>
      </c>
      <c r="D25">
        <v>3</v>
      </c>
    </row>
    <row r="26" spans="2:6">
      <c r="B26" t="s">
        <v>51</v>
      </c>
      <c r="C26">
        <v>48</v>
      </c>
      <c r="D26">
        <v>5</v>
      </c>
    </row>
    <row r="27" spans="2:6">
      <c r="B27" t="s">
        <v>50</v>
      </c>
      <c r="C27">
        <v>54</v>
      </c>
      <c r="D27">
        <v>5</v>
      </c>
    </row>
    <row r="28" spans="2:6">
      <c r="B28" t="s">
        <v>49</v>
      </c>
      <c r="C28">
        <v>48</v>
      </c>
      <c r="D28">
        <v>6</v>
      </c>
    </row>
    <row r="29" spans="2:6">
      <c r="B29" t="s">
        <v>48</v>
      </c>
      <c r="C29">
        <v>30</v>
      </c>
      <c r="D29">
        <v>4</v>
      </c>
    </row>
    <row r="30" spans="2:6">
      <c r="B30" t="s">
        <v>47</v>
      </c>
      <c r="C30">
        <v>36</v>
      </c>
      <c r="D30">
        <v>5</v>
      </c>
    </row>
    <row r="31" spans="2:6">
      <c r="B31" t="s">
        <v>46</v>
      </c>
      <c r="C31">
        <v>36</v>
      </c>
      <c r="D31">
        <v>4</v>
      </c>
    </row>
    <row r="32" spans="2:6">
      <c r="B32" s="5" t="s">
        <v>66</v>
      </c>
      <c r="C32" s="5">
        <v>12</v>
      </c>
      <c r="D32" s="5">
        <v>1.5</v>
      </c>
      <c r="F32" s="5"/>
    </row>
    <row r="33" spans="2:6">
      <c r="B33" s="5" t="s">
        <v>65</v>
      </c>
      <c r="C33" s="5">
        <v>18</v>
      </c>
      <c r="D33" s="5">
        <v>2</v>
      </c>
      <c r="F33" s="5"/>
    </row>
    <row r="34" spans="2:6">
      <c r="B34" s="5" t="s">
        <v>64</v>
      </c>
      <c r="C34" s="5">
        <v>14</v>
      </c>
      <c r="D34" s="5">
        <v>1.5</v>
      </c>
      <c r="F34" s="5"/>
    </row>
    <row r="35" spans="2:6">
      <c r="B35" s="5" t="s">
        <v>63</v>
      </c>
      <c r="C35" s="5">
        <v>20</v>
      </c>
      <c r="D35" s="5">
        <v>3</v>
      </c>
      <c r="F35" s="5"/>
    </row>
    <row r="36" spans="2:6">
      <c r="B36" s="5" t="s">
        <v>62</v>
      </c>
      <c r="C36" s="5">
        <v>15</v>
      </c>
      <c r="D36" s="5">
        <v>2</v>
      </c>
      <c r="F36" s="5"/>
    </row>
    <row r="37" spans="2:6">
      <c r="B37" s="5" t="s">
        <v>61</v>
      </c>
      <c r="C37" s="5">
        <v>18</v>
      </c>
      <c r="D37" s="5">
        <v>2</v>
      </c>
      <c r="F37" s="5"/>
    </row>
    <row r="38" spans="2:6">
      <c r="B38" s="5" t="s">
        <v>60</v>
      </c>
      <c r="C38" s="5">
        <v>16</v>
      </c>
      <c r="D38" s="5">
        <v>2.5</v>
      </c>
      <c r="F38" s="5"/>
    </row>
    <row r="39" spans="2:6">
      <c r="B39" s="5" t="s">
        <v>58</v>
      </c>
      <c r="C39" s="5">
        <v>22</v>
      </c>
      <c r="D39" s="5">
        <v>3</v>
      </c>
      <c r="F39" s="5"/>
    </row>
    <row r="40" spans="2:6">
      <c r="B40" s="5" t="s">
        <v>59</v>
      </c>
      <c r="C40" s="5">
        <v>14</v>
      </c>
      <c r="D40" s="5">
        <v>2</v>
      </c>
      <c r="F40" s="5"/>
    </row>
    <row r="41" spans="2:6">
      <c r="B41" s="5" t="s">
        <v>104</v>
      </c>
      <c r="C41" s="5">
        <v>24</v>
      </c>
      <c r="D41" s="5">
        <v>3</v>
      </c>
      <c r="F41" s="5"/>
    </row>
    <row r="42" spans="2:6">
      <c r="B42" s="5" t="s">
        <v>106</v>
      </c>
      <c r="C42" s="5">
        <v>12</v>
      </c>
      <c r="D42" s="5">
        <v>1.5</v>
      </c>
      <c r="F42" s="5"/>
    </row>
    <row r="43" spans="2:6">
      <c r="B43" s="5" t="s">
        <v>57</v>
      </c>
      <c r="C43" s="5">
        <v>18</v>
      </c>
      <c r="D43" s="5">
        <v>2</v>
      </c>
      <c r="F43" s="5"/>
    </row>
    <row r="44" spans="2:6">
      <c r="B44" s="5" t="s">
        <v>56</v>
      </c>
      <c r="C44" s="5">
        <v>16</v>
      </c>
      <c r="D44" s="5">
        <v>2.5</v>
      </c>
      <c r="F44" s="5"/>
    </row>
    <row r="45" spans="2:6">
      <c r="B45" s="5" t="s">
        <v>55</v>
      </c>
      <c r="C45" s="5">
        <v>20</v>
      </c>
      <c r="D45" s="5">
        <v>3</v>
      </c>
      <c r="F45" s="5"/>
    </row>
    <row r="46" spans="2:6">
      <c r="B46" s="5" t="s">
        <v>53</v>
      </c>
      <c r="C46" s="5">
        <v>14</v>
      </c>
      <c r="D46" s="5">
        <v>2</v>
      </c>
      <c r="F46" s="5"/>
    </row>
    <row r="47" spans="2:6">
      <c r="B47" s="5" t="s">
        <v>81</v>
      </c>
      <c r="C47" s="5">
        <v>18</v>
      </c>
      <c r="D47" s="5">
        <v>2.5</v>
      </c>
      <c r="F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Buttan (IND)</dc:creator>
  <cp:keywords/>
  <dc:description/>
  <cp:lastModifiedBy>Ratnika Saxena (IND)</cp:lastModifiedBy>
  <cp:revision/>
  <dcterms:created xsi:type="dcterms:W3CDTF">2025-06-27T08:48:42Z</dcterms:created>
  <dcterms:modified xsi:type="dcterms:W3CDTF">2025-07-01T12:59:49Z</dcterms:modified>
  <cp:category/>
  <cp:contentStatus/>
</cp:coreProperties>
</file>